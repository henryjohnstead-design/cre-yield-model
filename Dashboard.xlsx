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nrystead/Desktop/Project 2/"/>
    </mc:Choice>
  </mc:AlternateContent>
  <xr:revisionPtr revIDLastSave="0" documentId="13_ncr:1_{778A8BB1-F58A-634E-8C54-82471F9395D7}" xr6:coauthVersionLast="47" xr6:coauthVersionMax="47" xr10:uidLastSave="{00000000-0000-0000-0000-000000000000}"/>
  <bookViews>
    <workbookView xWindow="20" yWindow="580" windowWidth="25600" windowHeight="14880" xr2:uid="{0FE8E1DC-9BB6-B845-B063-1D9751C3B001}"/>
  </bookViews>
  <sheets>
    <sheet name="Stress-Test Model" sheetId="1" r:id="rId1"/>
    <sheet name="Underlying Numb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4" i="1" l="1"/>
  <c r="C13" i="1"/>
  <c r="C9" i="1"/>
  <c r="C8" i="1"/>
</calcChain>
</file>

<file path=xl/sharedStrings.xml><?xml version="1.0" encoding="utf-8"?>
<sst xmlns="http://schemas.openxmlformats.org/spreadsheetml/2006/main" count="18" uniqueCount="18">
  <si>
    <t xml:space="preserve">Control Panel, enter hypothetical economic figures </t>
  </si>
  <si>
    <t>BoE base rate</t>
  </si>
  <si>
    <t xml:space="preserve">CPI Inflation </t>
  </si>
  <si>
    <t>GDP Growth</t>
  </si>
  <si>
    <t>Predicted values from regression analysis</t>
  </si>
  <si>
    <t xml:space="preserve">Predicted London Yield </t>
  </si>
  <si>
    <t xml:space="preserve">Predicted Regional Yield </t>
  </si>
  <si>
    <t xml:space="preserve">Valuation impact </t>
  </si>
  <si>
    <t xml:space="preserve">Assumed Portfolio Net Income </t>
  </si>
  <si>
    <t xml:space="preserve">London Portfolio Value </t>
  </si>
  <si>
    <t>Regional Portfolio Value</t>
  </si>
  <si>
    <t>Factor</t>
  </si>
  <si>
    <t>London Coefficient</t>
  </si>
  <si>
    <t>Regional Coefficient</t>
  </si>
  <si>
    <t>Constant (Intercept)</t>
  </si>
  <si>
    <t>BoE Base Rate (%)</t>
  </si>
  <si>
    <t>CPI Inflation (%)</t>
  </si>
  <si>
    <t>GDP Growth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</si>
</sst>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6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Google Sans Text"/>
      <family val="2"/>
    </font>
    <font>
      <sz val="12"/>
      <color theme="7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0" fontId="5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 Macro</a:t>
            </a:r>
            <a:r>
              <a:rPr lang="en-GB" baseline="0"/>
              <a:t> Stress-Test Valuations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991-3343-8AC2-AAEB1B4419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'Stress-Test Model'!$B$13:$B$14</c:f>
              <c:strCache>
                <c:ptCount val="2"/>
                <c:pt idx="0">
                  <c:v>London Portfolio Value </c:v>
                </c:pt>
                <c:pt idx="1">
                  <c:v>Regional Portfolio Value</c:v>
                </c:pt>
              </c:strCache>
            </c:strRef>
          </c:cat>
          <c:val>
            <c:numRef>
              <c:f>'Stress-Test Model'!$C$13:$C$14</c:f>
              <c:numCache>
                <c:formatCode>"£"#,##0.00</c:formatCode>
                <c:ptCount val="2"/>
                <c:pt idx="0">
                  <c:v>24630541.871921178</c:v>
                </c:pt>
                <c:pt idx="1">
                  <c:v>14604936.468526362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91-3343-8AC2-AAEB1B4419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06242751"/>
        <c:axId val="306234687"/>
      </c:barChart>
      <c:catAx>
        <c:axId val="306242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234687"/>
        <c:crosses val="autoZero"/>
        <c:auto val="1"/>
        <c:lblAlgn val="ctr"/>
        <c:lblOffset val="100"/>
        <c:noMultiLvlLbl val="0"/>
      </c:catAx>
      <c:valAx>
        <c:axId val="30623468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crossAx val="306242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1</xdr:row>
      <xdr:rowOff>69850</xdr:rowOff>
    </xdr:from>
    <xdr:to>
      <xdr:col>9</xdr:col>
      <xdr:colOff>692150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4523CA-D055-7E23-9641-7117D00B4F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1B9E5-3D3A-2E45-B736-27285BA43E6A}">
  <dimension ref="B1:C14"/>
  <sheetViews>
    <sheetView showGridLines="0" tabSelected="1" zoomScale="130" zoomScaleNormal="130" workbookViewId="0">
      <selection activeCell="B4" sqref="B4"/>
    </sheetView>
  </sheetViews>
  <sheetFormatPr baseColWidth="10" defaultRowHeight="16"/>
  <cols>
    <col min="1" max="1" width="2.1640625" customWidth="1"/>
    <col min="2" max="2" width="26.5" customWidth="1"/>
    <col min="3" max="3" width="13.83203125" bestFit="1" customWidth="1"/>
  </cols>
  <sheetData>
    <row r="1" spans="2:3" ht="11" customHeight="1"/>
    <row r="2" spans="2:3">
      <c r="B2" s="2" t="s">
        <v>0</v>
      </c>
    </row>
    <row r="3" spans="2:3">
      <c r="B3" s="1" t="s">
        <v>1</v>
      </c>
      <c r="C3" s="8">
        <v>0.05</v>
      </c>
    </row>
    <row r="4" spans="2:3">
      <c r="B4" s="1" t="s">
        <v>2</v>
      </c>
      <c r="C4" s="8">
        <v>0.03</v>
      </c>
    </row>
    <row r="5" spans="2:3">
      <c r="B5" s="1" t="s">
        <v>3</v>
      </c>
      <c r="C5" s="8">
        <v>0.02</v>
      </c>
    </row>
    <row r="7" spans="2:3">
      <c r="B7" s="2" t="s">
        <v>4</v>
      </c>
    </row>
    <row r="8" spans="2:3">
      <c r="B8" s="1" t="s">
        <v>5</v>
      </c>
      <c r="C8" s="7">
        <f>(3.516 + (0.138*C3*100) + (-0.052*C4*100) + (0.005*C5*100))/100</f>
        <v>4.0600000000000004E-2</v>
      </c>
    </row>
    <row r="9" spans="2:3">
      <c r="B9" s="1" t="s">
        <v>6</v>
      </c>
      <c r="C9" s="7">
        <f>(5.293 + (0.415*C3*100) + (-0.187*C4*100) + (0.02*C5*100))/100</f>
        <v>6.8470000000000003E-2</v>
      </c>
    </row>
    <row r="11" spans="2:3">
      <c r="B11" s="2" t="s">
        <v>7</v>
      </c>
    </row>
    <row r="12" spans="2:3">
      <c r="B12" s="1" t="s">
        <v>8</v>
      </c>
      <c r="C12" s="6">
        <v>1000000</v>
      </c>
    </row>
    <row r="13" spans="2:3">
      <c r="B13" s="1" t="s">
        <v>9</v>
      </c>
      <c r="C13" s="6">
        <f>C12 / C8</f>
        <v>24630541.871921178</v>
      </c>
    </row>
    <row r="14" spans="2:3">
      <c r="B14" s="1" t="s">
        <v>10</v>
      </c>
      <c r="C14" s="6">
        <f>C12 / C9</f>
        <v>14604936.468526362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5189F-6CBE-0D45-829A-410E04B61E5D}">
  <dimension ref="B2:D6"/>
  <sheetViews>
    <sheetView workbookViewId="0">
      <selection activeCell="C6" sqref="C6"/>
    </sheetView>
  </sheetViews>
  <sheetFormatPr baseColWidth="10" defaultRowHeight="16"/>
  <cols>
    <col min="2" max="2" width="21.1640625" customWidth="1"/>
    <col min="3" max="3" width="20.5" customWidth="1"/>
    <col min="4" max="4" width="20.33203125" customWidth="1"/>
  </cols>
  <sheetData>
    <row r="2" spans="2:4">
      <c r="B2" s="3" t="s">
        <v>11</v>
      </c>
      <c r="C2" s="3" t="s">
        <v>12</v>
      </c>
      <c r="D2" s="3" t="s">
        <v>13</v>
      </c>
    </row>
    <row r="3" spans="2:4">
      <c r="B3" s="5" t="s">
        <v>14</v>
      </c>
      <c r="C3" s="4">
        <v>3.516</v>
      </c>
      <c r="D3" s="4">
        <v>5.2930000000000001</v>
      </c>
    </row>
    <row r="4" spans="2:4">
      <c r="B4" s="5" t="s">
        <v>15</v>
      </c>
      <c r="C4" s="4">
        <v>0.13800000000000001</v>
      </c>
      <c r="D4" s="4">
        <v>0.41499999999999998</v>
      </c>
    </row>
    <row r="5" spans="2:4">
      <c r="B5" s="5" t="s">
        <v>16</v>
      </c>
      <c r="C5" s="4">
        <v>-5.1999999999999998E-2</v>
      </c>
      <c r="D5" s="4">
        <v>-0.187</v>
      </c>
    </row>
    <row r="6" spans="2:4">
      <c r="B6" s="5" t="s">
        <v>17</v>
      </c>
      <c r="C6" s="4">
        <v>5.0000000000000001E-3</v>
      </c>
      <c r="D6" s="4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Stress-Test Model</vt:lpstr>
      <vt:lpstr>Underlying 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Stead</dc:creator>
  <cp:lastModifiedBy>Henry Stead</cp:lastModifiedBy>
  <dcterms:created xsi:type="dcterms:W3CDTF">2026-06-25T09:52:35Z</dcterms:created>
  <dcterms:modified xsi:type="dcterms:W3CDTF">2026-07-11T07:22:58Z</dcterms:modified>
</cp:coreProperties>
</file>